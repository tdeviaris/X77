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PERSO actif\X 77\Diner débat Patrick Sayer 02 février 2026\"/>
    </mc:Choice>
  </mc:AlternateContent>
  <xr:revisionPtr revIDLastSave="0" documentId="13_ncr:1_{DB95DEA2-6CD1-43E2-8FDC-ACE6F384D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02 février 2026" sheetId="1" r:id="rId1"/>
  </sheets>
  <definedNames>
    <definedName name="_xlnm.Print_Area" localSheetId="0">' 02 février 2026'!$A$2:$J$60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G54" i="1"/>
  <c r="G53" i="1"/>
  <c r="H42" i="1" l="1"/>
  <c r="F43" i="1"/>
  <c r="H43" i="1" s="1"/>
  <c r="F27" i="1"/>
  <c r="J42" i="1" l="1"/>
  <c r="H44" i="1"/>
  <c r="J44" i="1" s="1"/>
  <c r="F5" i="1" l="1"/>
  <c r="F11" i="1"/>
  <c r="F6" i="1"/>
  <c r="F7" i="1"/>
  <c r="F8" i="1"/>
  <c r="F9" i="1"/>
  <c r="F10" i="1"/>
  <c r="F12" i="1"/>
  <c r="F16" i="1"/>
  <c r="F13" i="1"/>
  <c r="F14" i="1"/>
  <c r="F15" i="1"/>
  <c r="F17" i="1"/>
  <c r="F31" i="1"/>
  <c r="F18" i="1"/>
  <c r="F19" i="1"/>
  <c r="F20" i="1"/>
  <c r="F21" i="1"/>
  <c r="F22" i="1"/>
  <c r="F23" i="1"/>
  <c r="F24" i="1"/>
  <c r="F25" i="1"/>
  <c r="F26" i="1"/>
  <c r="F28" i="1"/>
  <c r="F29" i="1"/>
  <c r="F30" i="1"/>
  <c r="F32" i="1"/>
  <c r="F48" i="1" l="1"/>
  <c r="H48" i="1" s="1"/>
  <c r="F39" i="1" l="1"/>
  <c r="H39" i="1" s="1"/>
  <c r="J39" i="1" s="1"/>
  <c r="F49" i="1" l="1"/>
  <c r="H49" i="1" s="1"/>
  <c r="J49" i="1" s="1"/>
  <c r="F45" i="1"/>
  <c r="F40" i="1"/>
  <c r="H45" i="1" l="1"/>
  <c r="J45" i="1" s="1"/>
  <c r="H40" i="1"/>
  <c r="J40" i="1" s="1"/>
  <c r="F47" i="1"/>
  <c r="G36" i="1"/>
  <c r="I36" i="1"/>
  <c r="E36" i="1"/>
  <c r="F55" i="1" s="1"/>
  <c r="H7" i="1"/>
  <c r="J7" i="1" s="1"/>
  <c r="H47" i="1" l="1"/>
  <c r="J47" i="1" s="1"/>
  <c r="H15" i="1"/>
  <c r="J15" i="1" s="1"/>
  <c r="F46" i="1"/>
  <c r="F53" i="1" s="1"/>
  <c r="H14" i="1"/>
  <c r="J14" i="1" s="1"/>
  <c r="H11" i="1"/>
  <c r="J11" i="1" s="1"/>
  <c r="H33" i="1"/>
  <c r="J33" i="1" s="1"/>
  <c r="H20" i="1"/>
  <c r="J20" i="1" s="1"/>
  <c r="H32" i="1"/>
  <c r="J32" i="1" s="1"/>
  <c r="H29" i="1"/>
  <c r="J29" i="1" s="1"/>
  <c r="F34" i="1"/>
  <c r="H34" i="1" s="1"/>
  <c r="J34" i="1" s="1"/>
  <c r="H30" i="1"/>
  <c r="J30" i="1" s="1"/>
  <c r="H28" i="1"/>
  <c r="J28" i="1" s="1"/>
  <c r="F38" i="1"/>
  <c r="J43" i="1"/>
  <c r="F41" i="1"/>
  <c r="H41" i="1" s="1"/>
  <c r="F37" i="1"/>
  <c r="H6" i="1"/>
  <c r="J6" i="1" s="1"/>
  <c r="H17" i="1"/>
  <c r="J17" i="1" s="1"/>
  <c r="H24" i="1"/>
  <c r="J24" i="1" s="1"/>
  <c r="H27" i="1"/>
  <c r="J27" i="1" s="1"/>
  <c r="H25" i="1"/>
  <c r="H37" i="1" l="1"/>
  <c r="J37" i="1" s="1"/>
  <c r="H46" i="1"/>
  <c r="J46" i="1" s="1"/>
  <c r="J41" i="1"/>
  <c r="H38" i="1"/>
  <c r="J38" i="1" s="1"/>
  <c r="F58" i="1"/>
  <c r="H19" i="1" l="1"/>
  <c r="J19" i="1" s="1"/>
  <c r="H31" i="1" l="1"/>
  <c r="J31" i="1" s="1"/>
  <c r="F4" i="1"/>
  <c r="H21" i="1"/>
  <c r="J21" i="1" s="1"/>
  <c r="H22" i="1"/>
  <c r="J48" i="1"/>
  <c r="H23" i="1"/>
  <c r="J23" i="1" s="1"/>
  <c r="H26" i="1"/>
  <c r="F35" i="1"/>
  <c r="H35" i="1" s="1"/>
  <c r="J35" i="1" s="1"/>
  <c r="G51" i="1"/>
  <c r="G52" i="1" s="1"/>
  <c r="I51" i="1"/>
  <c r="E51" i="1"/>
  <c r="H4" i="1" l="1"/>
  <c r="J4" i="1" s="1"/>
  <c r="J26" i="1"/>
  <c r="H5" i="1"/>
  <c r="J5" i="1" s="1"/>
  <c r="F36" i="1"/>
  <c r="J22" i="1"/>
  <c r="I52" i="1"/>
  <c r="H18" i="1"/>
  <c r="J18" i="1" s="1"/>
  <c r="H16" i="1" l="1"/>
  <c r="J16" i="1" s="1"/>
  <c r="F51" i="1" l="1"/>
  <c r="E52" i="1"/>
  <c r="F52" i="1" l="1"/>
  <c r="F60" i="1" s="1"/>
  <c r="H10" i="1"/>
  <c r="J10" i="1" l="1"/>
  <c r="H8" i="1" l="1"/>
  <c r="J8" i="1" l="1"/>
  <c r="H9" i="1"/>
  <c r="J9" i="1" s="1"/>
  <c r="H12" i="1"/>
  <c r="H13" i="1"/>
  <c r="J12" i="1" l="1"/>
  <c r="H36" i="1"/>
  <c r="J51" i="1"/>
  <c r="H51" i="1"/>
  <c r="J13" i="1"/>
  <c r="J36" i="1" l="1"/>
  <c r="J52" i="1" s="1"/>
  <c r="H52" i="1"/>
</calcChain>
</file>

<file path=xl/sharedStrings.xml><?xml version="1.0" encoding="utf-8"?>
<sst xmlns="http://schemas.openxmlformats.org/spreadsheetml/2006/main" count="69" uniqueCount="66">
  <si>
    <t>Prénom</t>
  </si>
  <si>
    <t>nombre</t>
  </si>
  <si>
    <t>dû</t>
  </si>
  <si>
    <t>payé</t>
  </si>
  <si>
    <t>reste dû</t>
  </si>
  <si>
    <t>remboursé</t>
  </si>
  <si>
    <t>solde</t>
  </si>
  <si>
    <t>Martin</t>
  </si>
  <si>
    <t>Olivier</t>
  </si>
  <si>
    <t>Charaix</t>
  </si>
  <si>
    <t>Total Diner</t>
  </si>
  <si>
    <t>Total Visio</t>
  </si>
  <si>
    <t>frais de virement</t>
  </si>
  <si>
    <t>Repas</t>
  </si>
  <si>
    <t>Matériel audiovisuel</t>
  </si>
  <si>
    <t>Solde soirée</t>
  </si>
  <si>
    <t>Total</t>
  </si>
  <si>
    <t>Pierre</t>
  </si>
  <si>
    <t>Bruno</t>
  </si>
  <si>
    <t>Cuisinier</t>
  </si>
  <si>
    <t>Jean-Baptiste</t>
  </si>
  <si>
    <t>Moser</t>
  </si>
  <si>
    <t>François-Xavier</t>
  </si>
  <si>
    <t>Tejedor</t>
  </si>
  <si>
    <t>Patrick</t>
  </si>
  <si>
    <t>Nom</t>
  </si>
  <si>
    <t>Yves</t>
  </si>
  <si>
    <t>Viaris</t>
  </si>
  <si>
    <t>Tristan</t>
  </si>
  <si>
    <t>frais site AX</t>
  </si>
  <si>
    <t>Jean-Marc</t>
  </si>
  <si>
    <t>Houzard</t>
  </si>
  <si>
    <t>Xavier</t>
  </si>
  <si>
    <t>Jachiet</t>
  </si>
  <si>
    <t>Nicolas</t>
  </si>
  <si>
    <t>nicolas.jachiet@polytechnique.org</t>
  </si>
  <si>
    <t>Mesland</t>
  </si>
  <si>
    <t>Jean-Michel</t>
  </si>
  <si>
    <t>francois-xavier.moser@polytechnique.org</t>
  </si>
  <si>
    <t>Le Corfec</t>
  </si>
  <si>
    <t xml:space="preserve">dont direct </t>
  </si>
  <si>
    <t>dont site AX</t>
  </si>
  <si>
    <t>Yann</t>
  </si>
  <si>
    <t>Duchesne</t>
  </si>
  <si>
    <t xml:space="preserve">Philippe </t>
  </si>
  <si>
    <t xml:space="preserve">Pierre </t>
  </si>
  <si>
    <t>Eric</t>
  </si>
  <si>
    <t>Diner débat X77 du 02 février 2026 à la maison des X</t>
  </si>
  <si>
    <t>Sayer</t>
  </si>
  <si>
    <t>Marie-Hélène</t>
  </si>
  <si>
    <t>Sartorius</t>
  </si>
  <si>
    <t>Antoine</t>
  </si>
  <si>
    <t>Frérot</t>
  </si>
  <si>
    <t>Pauchon</t>
  </si>
  <si>
    <t>Courbariaux</t>
  </si>
  <si>
    <t>Balsollier</t>
  </si>
  <si>
    <t xml:space="preserve">Jérome </t>
  </si>
  <si>
    <t>Vaysse</t>
  </si>
  <si>
    <t>Martrenchar</t>
  </si>
  <si>
    <t>Messaoud</t>
  </si>
  <si>
    <t>Youssef-Ouali</t>
  </si>
  <si>
    <t>Massiet du Biest</t>
  </si>
  <si>
    <t>xavier.houzard@m4x.org</t>
  </si>
  <si>
    <t>pierre.courbariaux@polytechnique.org</t>
  </si>
  <si>
    <t>mariehelene.sartorius@gmail.com</t>
  </si>
  <si>
    <t>eric.pauchon@polytechnique.org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</si>
</sst>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€&quot;"/>
    <numFmt numFmtId="165" formatCode="#,##0.00\ &quot;€&quot;"/>
    <numFmt numFmtId="166" formatCode="_-* #,##0.0000\ &quot;€&quot;_-;\-* #,##0.00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44" fontId="4" fillId="0" borderId="6" xfId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/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6" fontId="5" fillId="0" borderId="24" xfId="1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3" fontId="5" fillId="5" borderId="6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0" fontId="7" fillId="0" borderId="0" xfId="3"/>
    <xf numFmtId="0" fontId="7" fillId="0" borderId="0" xfId="3" applyAlignment="1">
      <alignment vertical="center"/>
    </xf>
    <xf numFmtId="0" fontId="5" fillId="0" borderId="26" xfId="0" applyFont="1" applyBorder="1" applyAlignment="1">
      <alignment horizontal="center" vertical="center"/>
    </xf>
    <xf numFmtId="44" fontId="4" fillId="0" borderId="12" xfId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3" fontId="5" fillId="5" borderId="24" xfId="0" applyNumberFormat="1" applyFont="1" applyFill="1" applyBorder="1" applyAlignment="1">
      <alignment horizontal="center" vertical="center"/>
    </xf>
    <xf numFmtId="164" fontId="5" fillId="5" borderId="28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0" fontId="2" fillId="6" borderId="6" xfId="2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2" fillId="7" borderId="6" xfId="2" applyFont="1" applyFill="1" applyBorder="1" applyAlignment="1">
      <alignment horizontal="center" vertical="center"/>
    </xf>
  </cellXfs>
  <cellStyles count="4">
    <cellStyle name="Lien hypertexte" xfId="3" builtinId="8"/>
    <cellStyle name="Monétaire" xfId="1" builtinId="4"/>
    <cellStyle name="Normal" xfId="0" builtinId="0"/>
    <cellStyle name="Normal 2" xfId="2" xr:uid="{00000000-0005-0000-0000-00000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ehelene.sartorius@gmail.com" TargetMode="External"/><Relationship Id="rId1" Type="http://schemas.openxmlformats.org/officeDocument/2006/relationships/hyperlink" Target="mailto:xavier.houzard@m4x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8"/>
  <sheetViews>
    <sheetView tabSelected="1" topLeftCell="A16" zoomScale="64" zoomScaleNormal="64" workbookViewId="0">
      <selection activeCell="G49" sqref="G49"/>
    </sheetView>
  </sheetViews>
  <sheetFormatPr baseColWidth="10" defaultColWidth="11.44140625" defaultRowHeight="13.8" x14ac:dyDescent="0.3"/>
  <cols>
    <col min="1" max="1" width="22" style="4" customWidth="1"/>
    <col min="2" max="2" width="27" style="4" bestFit="1" customWidth="1"/>
    <col min="3" max="4" width="17.44140625" style="4" customWidth="1"/>
    <col min="5" max="5" width="11.44140625" style="4"/>
    <col min="6" max="6" width="14.33203125" style="4" customWidth="1"/>
    <col min="7" max="7" width="13.33203125" style="4" bestFit="1" customWidth="1"/>
    <col min="8" max="9" width="11.6640625" style="4" bestFit="1" customWidth="1"/>
    <col min="10" max="10" width="13.33203125" style="4" bestFit="1" customWidth="1"/>
    <col min="11" max="11" width="63.6640625" style="4" customWidth="1"/>
    <col min="12" max="12" width="17.5546875" style="4" bestFit="1" customWidth="1"/>
    <col min="13" max="13" width="11.44140625" style="4"/>
    <col min="14" max="14" width="0.109375" style="4" customWidth="1"/>
    <col min="15" max="15" width="11" style="4" customWidth="1"/>
    <col min="16" max="17" width="11.44140625" style="4" hidden="1" customWidth="1"/>
    <col min="18" max="18" width="0.44140625" style="4" customWidth="1"/>
    <col min="19" max="20" width="11.44140625" style="4"/>
    <col min="21" max="21" width="25" style="4" customWidth="1"/>
    <col min="22" max="16384" width="11.44140625" style="4"/>
  </cols>
  <sheetData>
    <row r="1" spans="1:11" ht="15" thickBot="1" x14ac:dyDescent="0.35">
      <c r="A1" s="56" t="s">
        <v>47</v>
      </c>
      <c r="B1" s="56"/>
      <c r="C1" s="56"/>
      <c r="D1" s="56"/>
      <c r="E1" s="56"/>
      <c r="F1" s="56"/>
      <c r="G1" s="56"/>
      <c r="H1" s="56"/>
      <c r="I1" s="56"/>
      <c r="J1" s="56"/>
      <c r="K1" s="40"/>
    </row>
    <row r="2" spans="1:11" ht="40.5" customHeight="1" thickBot="1" x14ac:dyDescent="0.35">
      <c r="A2" s="2" t="s">
        <v>0</v>
      </c>
      <c r="B2" s="2" t="s">
        <v>25</v>
      </c>
      <c r="C2" s="2" t="s">
        <v>0</v>
      </c>
      <c r="D2" s="2" t="s">
        <v>25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3" t="s">
        <v>6</v>
      </c>
      <c r="K2" s="40"/>
    </row>
    <row r="3" spans="1:11" ht="40.5" customHeight="1" x14ac:dyDescent="0.3">
      <c r="A3" s="1"/>
      <c r="B3" s="2"/>
      <c r="C3" s="15"/>
      <c r="D3" s="15"/>
      <c r="E3" s="57"/>
      <c r="F3" s="58"/>
      <c r="G3" s="58"/>
      <c r="H3" s="58"/>
      <c r="I3" s="58"/>
      <c r="J3" s="59"/>
      <c r="K3" s="40"/>
    </row>
    <row r="4" spans="1:11" ht="14.4" x14ac:dyDescent="0.3">
      <c r="A4" s="18"/>
      <c r="B4" s="18"/>
      <c r="C4" s="18"/>
      <c r="D4" s="18"/>
      <c r="E4" s="18"/>
      <c r="F4" s="10">
        <f t="shared" ref="F4:F32" si="0">E4*57</f>
        <v>0</v>
      </c>
      <c r="G4" s="18"/>
      <c r="H4" s="10">
        <f t="shared" ref="H4:H12" si="1">F4-G4</f>
        <v>0</v>
      </c>
      <c r="I4" s="18"/>
      <c r="J4" s="10">
        <f t="shared" ref="J4:J12" si="2">H4-I4</f>
        <v>0</v>
      </c>
      <c r="K4" s="40"/>
    </row>
    <row r="5" spans="1:11" ht="14.4" x14ac:dyDescent="0.3">
      <c r="A5" s="18"/>
      <c r="B5" s="18"/>
      <c r="C5" s="18"/>
      <c r="D5" s="18"/>
      <c r="E5" s="18"/>
      <c r="F5" s="10">
        <f t="shared" si="0"/>
        <v>0</v>
      </c>
      <c r="G5" s="18"/>
      <c r="H5" s="10">
        <f t="shared" si="1"/>
        <v>0</v>
      </c>
      <c r="I5" s="18"/>
      <c r="J5" s="10">
        <f t="shared" si="2"/>
        <v>0</v>
      </c>
      <c r="K5" s="40"/>
    </row>
    <row r="6" spans="1:11" ht="15.75" customHeight="1" x14ac:dyDescent="0.3">
      <c r="A6" s="18"/>
      <c r="B6" s="18"/>
      <c r="C6" s="18"/>
      <c r="D6" s="18"/>
      <c r="E6" s="18"/>
      <c r="F6" s="10">
        <f t="shared" si="0"/>
        <v>0</v>
      </c>
      <c r="G6" s="18"/>
      <c r="H6" s="10">
        <f t="shared" si="1"/>
        <v>0</v>
      </c>
      <c r="I6" s="18"/>
      <c r="J6" s="10">
        <f t="shared" si="2"/>
        <v>0</v>
      </c>
      <c r="K6" s="40"/>
    </row>
    <row r="7" spans="1:11" ht="15.75" customHeight="1" x14ac:dyDescent="0.3">
      <c r="A7" s="18" t="s">
        <v>8</v>
      </c>
      <c r="B7" s="18" t="s">
        <v>7</v>
      </c>
      <c r="C7" s="18"/>
      <c r="D7" s="18"/>
      <c r="E7" s="18">
        <v>2</v>
      </c>
      <c r="F7" s="10">
        <f t="shared" si="0"/>
        <v>114</v>
      </c>
      <c r="G7" s="18">
        <v>114</v>
      </c>
      <c r="H7" s="10">
        <f t="shared" si="1"/>
        <v>0</v>
      </c>
      <c r="I7" s="18"/>
      <c r="J7" s="10">
        <f t="shared" si="2"/>
        <v>0</v>
      </c>
      <c r="K7" s="40"/>
    </row>
    <row r="8" spans="1:11" ht="15.75" customHeight="1" x14ac:dyDescent="0.3">
      <c r="A8" s="18" t="s">
        <v>28</v>
      </c>
      <c r="B8" s="18" t="s">
        <v>27</v>
      </c>
      <c r="C8" s="18"/>
      <c r="D8" s="18"/>
      <c r="E8" s="18">
        <v>2</v>
      </c>
      <c r="F8" s="10">
        <f t="shared" si="0"/>
        <v>114</v>
      </c>
      <c r="G8" s="18">
        <v>114</v>
      </c>
      <c r="H8" s="10">
        <f t="shared" si="1"/>
        <v>0</v>
      </c>
      <c r="I8" s="18"/>
      <c r="J8" s="10">
        <f t="shared" si="2"/>
        <v>0</v>
      </c>
      <c r="K8" s="40"/>
    </row>
    <row r="9" spans="1:11" ht="15.75" customHeight="1" x14ac:dyDescent="0.3">
      <c r="A9" s="18" t="s">
        <v>42</v>
      </c>
      <c r="B9" s="18" t="s">
        <v>43</v>
      </c>
      <c r="C9" s="18"/>
      <c r="D9" s="18"/>
      <c r="E9" s="18">
        <v>1</v>
      </c>
      <c r="F9" s="10">
        <f t="shared" si="0"/>
        <v>57</v>
      </c>
      <c r="G9" s="18">
        <v>57</v>
      </c>
      <c r="H9" s="10">
        <f t="shared" si="1"/>
        <v>0</v>
      </c>
      <c r="I9" s="18"/>
      <c r="J9" s="10">
        <f t="shared" si="2"/>
        <v>0</v>
      </c>
      <c r="K9" s="40"/>
    </row>
    <row r="10" spans="1:11" ht="14.4" x14ac:dyDescent="0.3">
      <c r="A10" s="18" t="s">
        <v>19</v>
      </c>
      <c r="B10" s="18" t="s">
        <v>20</v>
      </c>
      <c r="C10" s="18"/>
      <c r="D10" s="18"/>
      <c r="E10" s="18">
        <v>2</v>
      </c>
      <c r="F10" s="10">
        <f t="shared" si="0"/>
        <v>114</v>
      </c>
      <c r="G10" s="18">
        <v>114</v>
      </c>
      <c r="H10" s="10">
        <f t="shared" si="1"/>
        <v>0</v>
      </c>
      <c r="I10" s="18"/>
      <c r="J10" s="10">
        <f t="shared" si="2"/>
        <v>0</v>
      </c>
      <c r="K10" s="40"/>
    </row>
    <row r="11" spans="1:11" ht="14.4" x14ac:dyDescent="0.3">
      <c r="A11" s="18" t="s">
        <v>51</v>
      </c>
      <c r="B11" s="18" t="s">
        <v>52</v>
      </c>
      <c r="C11" s="18"/>
      <c r="D11" s="18"/>
      <c r="E11" s="18">
        <v>1</v>
      </c>
      <c r="F11" s="10">
        <f>E11*57</f>
        <v>57</v>
      </c>
      <c r="G11" s="18">
        <v>57</v>
      </c>
      <c r="H11" s="10">
        <f>F11-G11</f>
        <v>0</v>
      </c>
      <c r="I11" s="18"/>
      <c r="J11" s="10">
        <f>H11-I11</f>
        <v>0</v>
      </c>
      <c r="K11" s="40"/>
    </row>
    <row r="12" spans="1:11" ht="14.4" x14ac:dyDescent="0.3">
      <c r="A12" s="18" t="s">
        <v>37</v>
      </c>
      <c r="B12" s="18" t="s">
        <v>36</v>
      </c>
      <c r="C12" s="18"/>
      <c r="D12" s="18"/>
      <c r="E12" s="18">
        <v>1</v>
      </c>
      <c r="F12" s="10">
        <f t="shared" si="0"/>
        <v>57</v>
      </c>
      <c r="G12" s="18">
        <v>57</v>
      </c>
      <c r="H12" s="10">
        <f t="shared" si="1"/>
        <v>0</v>
      </c>
      <c r="I12" s="18"/>
      <c r="J12" s="10">
        <f t="shared" si="2"/>
        <v>0</v>
      </c>
      <c r="K12" s="40"/>
    </row>
    <row r="13" spans="1:11" ht="14.4" x14ac:dyDescent="0.3">
      <c r="A13" s="18" t="s">
        <v>26</v>
      </c>
      <c r="B13" s="18" t="s">
        <v>58</v>
      </c>
      <c r="C13" s="18"/>
      <c r="D13" s="18"/>
      <c r="E13" s="18">
        <v>1</v>
      </c>
      <c r="F13" s="10">
        <f t="shared" si="0"/>
        <v>57</v>
      </c>
      <c r="G13" s="18">
        <v>57</v>
      </c>
      <c r="H13" s="10">
        <f t="shared" ref="H13:H19" si="3">F13-G13</f>
        <v>0</v>
      </c>
      <c r="I13" s="18"/>
      <c r="J13" s="10">
        <f t="shared" ref="J13:J18" si="4">H13-I13</f>
        <v>0</v>
      </c>
      <c r="K13" s="40"/>
    </row>
    <row r="14" spans="1:11" ht="14.4" x14ac:dyDescent="0.3">
      <c r="A14" s="18"/>
      <c r="B14" s="18"/>
      <c r="C14" s="18"/>
      <c r="D14" s="18"/>
      <c r="E14" s="18"/>
      <c r="F14" s="10">
        <f t="shared" si="0"/>
        <v>0</v>
      </c>
      <c r="G14" s="18"/>
      <c r="H14" s="10">
        <f t="shared" ref="H14:H15" si="5">F14-G14</f>
        <v>0</v>
      </c>
      <c r="I14" s="18"/>
      <c r="J14" s="10">
        <f t="shared" ref="J14:J15" si="6">H14-I14</f>
        <v>0</v>
      </c>
      <c r="K14" s="40"/>
    </row>
    <row r="15" spans="1:11" ht="14.4" x14ac:dyDescent="0.3">
      <c r="A15" s="18"/>
      <c r="B15" s="18"/>
      <c r="C15" s="18"/>
      <c r="D15" s="18"/>
      <c r="E15" s="18"/>
      <c r="F15" s="10">
        <f t="shared" si="0"/>
        <v>0</v>
      </c>
      <c r="G15" s="18"/>
      <c r="H15" s="10">
        <f t="shared" si="5"/>
        <v>0</v>
      </c>
      <c r="I15" s="18"/>
      <c r="J15" s="10">
        <f t="shared" si="6"/>
        <v>0</v>
      </c>
      <c r="K15" s="40"/>
    </row>
    <row r="16" spans="1:11" ht="14.4" x14ac:dyDescent="0.3">
      <c r="A16" s="18"/>
      <c r="B16" s="18"/>
      <c r="C16" s="18"/>
      <c r="D16" s="18"/>
      <c r="E16" s="18"/>
      <c r="F16" s="10">
        <f>E16*57</f>
        <v>0</v>
      </c>
      <c r="G16" s="18"/>
      <c r="H16" s="10">
        <f>F16-G16</f>
        <v>0</v>
      </c>
      <c r="I16" s="18"/>
      <c r="J16" s="10">
        <f>H16-I16</f>
        <v>0</v>
      </c>
      <c r="K16" s="40"/>
    </row>
    <row r="17" spans="1:16" ht="14.4" x14ac:dyDescent="0.3">
      <c r="A17" s="18"/>
      <c r="B17" s="18"/>
      <c r="C17" s="18"/>
      <c r="D17" s="18"/>
      <c r="E17" s="18"/>
      <c r="F17" s="10">
        <f t="shared" si="0"/>
        <v>0</v>
      </c>
      <c r="G17" s="18"/>
      <c r="H17" s="10">
        <f t="shared" si="3"/>
        <v>0</v>
      </c>
      <c r="I17" s="18"/>
      <c r="J17" s="10">
        <f t="shared" si="4"/>
        <v>0</v>
      </c>
      <c r="K17" s="40"/>
    </row>
    <row r="18" spans="1:16" ht="14.4" x14ac:dyDescent="0.3">
      <c r="A18" s="18"/>
      <c r="B18" s="18"/>
      <c r="C18" s="18"/>
      <c r="D18" s="18"/>
      <c r="E18" s="18"/>
      <c r="F18" s="10">
        <f t="shared" si="0"/>
        <v>0</v>
      </c>
      <c r="G18" s="18"/>
      <c r="H18" s="10">
        <f t="shared" si="3"/>
        <v>0</v>
      </c>
      <c r="I18" s="18"/>
      <c r="J18" s="10">
        <f t="shared" si="4"/>
        <v>0</v>
      </c>
      <c r="K18" s="40"/>
    </row>
    <row r="19" spans="1:16" ht="14.4" x14ac:dyDescent="0.3">
      <c r="A19" s="18"/>
      <c r="B19" s="18"/>
      <c r="C19" s="18"/>
      <c r="D19" s="18"/>
      <c r="E19" s="18"/>
      <c r="F19" s="10">
        <f t="shared" si="0"/>
        <v>0</v>
      </c>
      <c r="G19" s="18"/>
      <c r="H19" s="10">
        <f t="shared" si="3"/>
        <v>0</v>
      </c>
      <c r="I19" s="18"/>
      <c r="J19" s="10">
        <f>H19-I19</f>
        <v>0</v>
      </c>
      <c r="K19" s="40"/>
    </row>
    <row r="20" spans="1:16" ht="14.4" x14ac:dyDescent="0.3">
      <c r="A20" s="18"/>
      <c r="B20" s="18"/>
      <c r="C20" s="18"/>
      <c r="D20" s="18"/>
      <c r="E20" s="18"/>
      <c r="F20" s="10">
        <f t="shared" si="0"/>
        <v>0</v>
      </c>
      <c r="G20" s="18"/>
      <c r="H20" s="10">
        <f>F20-G20</f>
        <v>0</v>
      </c>
      <c r="I20" s="18"/>
      <c r="J20" s="10">
        <f>H20-I20</f>
        <v>0</v>
      </c>
      <c r="K20" s="40"/>
    </row>
    <row r="21" spans="1:16" ht="14.4" x14ac:dyDescent="0.3">
      <c r="A21" s="18"/>
      <c r="B21" s="18"/>
      <c r="C21" s="18"/>
      <c r="D21" s="18"/>
      <c r="E21" s="18"/>
      <c r="F21" s="10">
        <f t="shared" si="0"/>
        <v>0</v>
      </c>
      <c r="G21" s="18"/>
      <c r="H21" s="10">
        <f t="shared" ref="H21:H35" si="7">F21-G21</f>
        <v>0</v>
      </c>
      <c r="I21" s="18"/>
      <c r="J21" s="10">
        <f t="shared" ref="J21:J35" si="8">H21-I21</f>
        <v>0</v>
      </c>
      <c r="K21" s="40"/>
    </row>
    <row r="22" spans="1:16" ht="14.4" x14ac:dyDescent="0.3">
      <c r="A22" s="18"/>
      <c r="B22" s="18"/>
      <c r="C22" s="18"/>
      <c r="D22" s="18"/>
      <c r="E22" s="18"/>
      <c r="F22" s="10">
        <f t="shared" si="0"/>
        <v>0</v>
      </c>
      <c r="G22" s="18"/>
      <c r="H22" s="10">
        <f t="shared" si="7"/>
        <v>0</v>
      </c>
      <c r="I22" s="18"/>
      <c r="J22" s="10">
        <f t="shared" si="8"/>
        <v>0</v>
      </c>
      <c r="K22" s="40"/>
    </row>
    <row r="23" spans="1:16" ht="14.4" x14ac:dyDescent="0.3">
      <c r="A23" s="18" t="s">
        <v>24</v>
      </c>
      <c r="B23" s="18" t="s">
        <v>23</v>
      </c>
      <c r="C23" s="18"/>
      <c r="D23" s="18"/>
      <c r="E23" s="18">
        <v>1</v>
      </c>
      <c r="F23" s="10">
        <f t="shared" si="0"/>
        <v>57</v>
      </c>
      <c r="G23" s="18">
        <v>57</v>
      </c>
      <c r="H23" s="10">
        <f t="shared" si="7"/>
        <v>0</v>
      </c>
      <c r="I23" s="18"/>
      <c r="J23" s="10">
        <f t="shared" si="8"/>
        <v>0</v>
      </c>
      <c r="K23" s="40"/>
    </row>
    <row r="24" spans="1:16" ht="14.4" x14ac:dyDescent="0.3">
      <c r="A24" s="18" t="s">
        <v>44</v>
      </c>
      <c r="B24" s="18" t="s">
        <v>9</v>
      </c>
      <c r="C24" s="18"/>
      <c r="D24" s="18"/>
      <c r="E24" s="18">
        <v>1</v>
      </c>
      <c r="F24" s="10">
        <f t="shared" si="0"/>
        <v>57</v>
      </c>
      <c r="G24" s="18">
        <v>57</v>
      </c>
      <c r="H24" s="10">
        <f t="shared" ref="H24" si="9">F24-G24</f>
        <v>0</v>
      </c>
      <c r="I24" s="18"/>
      <c r="J24" s="10">
        <f t="shared" ref="J24" si="10">H24-I24</f>
        <v>0</v>
      </c>
      <c r="K24" s="40"/>
    </row>
    <row r="25" spans="1:16" ht="14.4" x14ac:dyDescent="0.3">
      <c r="A25" s="18" t="s">
        <v>17</v>
      </c>
      <c r="B25" s="18" t="s">
        <v>55</v>
      </c>
      <c r="C25" s="18"/>
      <c r="D25" s="18"/>
      <c r="E25" s="18">
        <v>1</v>
      </c>
      <c r="F25" s="10">
        <f t="shared" si="0"/>
        <v>57</v>
      </c>
      <c r="G25" s="18">
        <v>57</v>
      </c>
      <c r="H25" s="10">
        <f t="shared" si="7"/>
        <v>0</v>
      </c>
      <c r="I25" s="18"/>
      <c r="J25" s="10"/>
      <c r="K25" s="40"/>
    </row>
    <row r="26" spans="1:16" ht="14.4" x14ac:dyDescent="0.3">
      <c r="A26" s="18" t="s">
        <v>56</v>
      </c>
      <c r="B26" s="18" t="s">
        <v>57</v>
      </c>
      <c r="C26" s="18"/>
      <c r="D26" s="18"/>
      <c r="E26" s="18">
        <v>1</v>
      </c>
      <c r="F26" s="10">
        <f t="shared" si="0"/>
        <v>57</v>
      </c>
      <c r="G26" s="18">
        <v>57</v>
      </c>
      <c r="H26" s="10">
        <f t="shared" si="7"/>
        <v>0</v>
      </c>
      <c r="I26" s="18"/>
      <c r="J26" s="10">
        <f t="shared" si="8"/>
        <v>0</v>
      </c>
      <c r="K26" s="40"/>
    </row>
    <row r="27" spans="1:16" ht="14.4" x14ac:dyDescent="0.3">
      <c r="A27" s="18" t="s">
        <v>59</v>
      </c>
      <c r="B27" s="18" t="s">
        <v>60</v>
      </c>
      <c r="C27" s="19"/>
      <c r="D27" s="19"/>
      <c r="E27" s="14">
        <v>1</v>
      </c>
      <c r="F27" s="10">
        <f t="shared" si="0"/>
        <v>57</v>
      </c>
      <c r="G27" s="18">
        <v>57</v>
      </c>
      <c r="H27" s="10">
        <f t="shared" si="7"/>
        <v>0</v>
      </c>
      <c r="I27" s="18"/>
      <c r="J27" s="10">
        <f t="shared" si="8"/>
        <v>0</v>
      </c>
      <c r="K27" s="40"/>
    </row>
    <row r="28" spans="1:16" ht="14.4" x14ac:dyDescent="0.3">
      <c r="A28" s="18" t="s">
        <v>18</v>
      </c>
      <c r="B28" s="18" t="s">
        <v>61</v>
      </c>
      <c r="C28" s="18"/>
      <c r="D28" s="18"/>
      <c r="E28" s="18">
        <v>1</v>
      </c>
      <c r="F28" s="10">
        <f t="shared" si="0"/>
        <v>57</v>
      </c>
      <c r="G28" s="18">
        <v>57</v>
      </c>
      <c r="H28" s="10">
        <f t="shared" si="7"/>
        <v>0</v>
      </c>
      <c r="I28" s="18"/>
      <c r="J28" s="10">
        <f t="shared" si="8"/>
        <v>0</v>
      </c>
      <c r="K28" s="40"/>
    </row>
    <row r="29" spans="1:16" ht="14.4" x14ac:dyDescent="0.3">
      <c r="A29" s="18" t="s">
        <v>30</v>
      </c>
      <c r="B29" s="18" t="s">
        <v>39</v>
      </c>
      <c r="C29" s="18"/>
      <c r="D29" s="18"/>
      <c r="E29" s="18">
        <v>1</v>
      </c>
      <c r="F29" s="10">
        <f t="shared" si="0"/>
        <v>57</v>
      </c>
      <c r="G29" s="60"/>
      <c r="H29" s="10">
        <f t="shared" ref="H29" si="11">F29-G29</f>
        <v>57</v>
      </c>
      <c r="I29" s="18"/>
      <c r="J29" s="10">
        <f t="shared" ref="J29" si="12">H29-I29</f>
        <v>57</v>
      </c>
      <c r="K29" s="40"/>
    </row>
    <row r="30" spans="1:16" ht="14.4" x14ac:dyDescent="0.3">
      <c r="A30" s="18"/>
      <c r="B30" s="18"/>
      <c r="C30" s="18"/>
      <c r="D30" s="18"/>
      <c r="E30" s="18"/>
      <c r="F30" s="10">
        <f t="shared" si="0"/>
        <v>0</v>
      </c>
      <c r="G30" s="18"/>
      <c r="H30" s="10">
        <f>F30-G30</f>
        <v>0</v>
      </c>
      <c r="I30" s="18"/>
      <c r="J30" s="10">
        <f>H30-I30</f>
        <v>0</v>
      </c>
      <c r="K30" s="40"/>
    </row>
    <row r="31" spans="1:16" ht="14.4" x14ac:dyDescent="0.3">
      <c r="A31" s="18"/>
      <c r="B31" s="18"/>
      <c r="C31" s="18"/>
      <c r="D31" s="18"/>
      <c r="E31" s="18"/>
      <c r="F31" s="10">
        <f>E31*57</f>
        <v>0</v>
      </c>
      <c r="G31" s="18"/>
      <c r="H31" s="10">
        <f>F31-G31</f>
        <v>0</v>
      </c>
      <c r="I31" s="18"/>
      <c r="J31" s="10">
        <f>H31-I31</f>
        <v>0</v>
      </c>
      <c r="K31" s="40"/>
    </row>
    <row r="32" spans="1:16" ht="14.4" x14ac:dyDescent="0.3">
      <c r="A32" s="18"/>
      <c r="B32" s="18"/>
      <c r="C32" s="18"/>
      <c r="D32" s="18"/>
      <c r="E32" s="18"/>
      <c r="F32" s="10">
        <f t="shared" si="0"/>
        <v>0</v>
      </c>
      <c r="G32" s="18"/>
      <c r="H32" s="10">
        <f t="shared" ref="H32:H33" si="13">F32-G32</f>
        <v>0</v>
      </c>
      <c r="I32" s="18"/>
      <c r="J32" s="10">
        <f t="shared" ref="J32:J33" si="14">H32-I32</f>
        <v>0</v>
      </c>
      <c r="K32" s="40"/>
      <c r="P32" s="14">
        <v>1</v>
      </c>
    </row>
    <row r="33" spans="1:19" ht="14.4" x14ac:dyDescent="0.3">
      <c r="A33" s="54" t="s">
        <v>24</v>
      </c>
      <c r="B33" s="54" t="s">
        <v>48</v>
      </c>
      <c r="C33" s="54"/>
      <c r="D33" s="54"/>
      <c r="E33" s="54">
        <v>1</v>
      </c>
      <c r="F33" s="55">
        <v>0</v>
      </c>
      <c r="G33" s="18"/>
      <c r="H33" s="10">
        <f t="shared" si="13"/>
        <v>0</v>
      </c>
      <c r="I33" s="18"/>
      <c r="J33" s="10">
        <f t="shared" si="14"/>
        <v>0</v>
      </c>
      <c r="K33" s="40"/>
      <c r="P33" s="14">
        <v>2</v>
      </c>
    </row>
    <row r="34" spans="1:19" ht="14.4" x14ac:dyDescent="0.3">
      <c r="A34" s="18"/>
      <c r="B34" s="18"/>
      <c r="C34" s="18"/>
      <c r="D34" s="18"/>
      <c r="E34" s="18"/>
      <c r="F34" s="10">
        <f t="shared" ref="F34:F35" si="15">E34*57</f>
        <v>0</v>
      </c>
      <c r="G34" s="18"/>
      <c r="H34" s="10">
        <f t="shared" si="7"/>
        <v>0</v>
      </c>
      <c r="I34" s="18"/>
      <c r="J34" s="10">
        <f t="shared" si="8"/>
        <v>0</v>
      </c>
      <c r="K34" s="40"/>
      <c r="P34" s="14">
        <v>1</v>
      </c>
    </row>
    <row r="35" spans="1:19" x14ac:dyDescent="0.3">
      <c r="A35" s="18"/>
      <c r="B35" s="18"/>
      <c r="C35" s="18"/>
      <c r="D35" s="18"/>
      <c r="E35" s="18"/>
      <c r="F35" s="10">
        <f t="shared" si="15"/>
        <v>0</v>
      </c>
      <c r="G35" s="18"/>
      <c r="H35" s="10">
        <f t="shared" si="7"/>
        <v>0</v>
      </c>
      <c r="I35" s="18"/>
      <c r="J35" s="10">
        <f t="shared" si="8"/>
        <v>0</v>
      </c>
      <c r="K35" s="5"/>
      <c r="P35" s="14"/>
      <c r="S35" s="4">
        <v>1</v>
      </c>
    </row>
    <row r="36" spans="1:19" x14ac:dyDescent="0.3">
      <c r="A36" s="51" t="s">
        <v>10</v>
      </c>
      <c r="B36" s="52"/>
      <c r="C36" s="52"/>
      <c r="D36" s="52"/>
      <c r="E36" s="53">
        <f t="shared" ref="E36:J36" si="16">SUM(E4:E35)</f>
        <v>18</v>
      </c>
      <c r="F36" s="53">
        <f t="shared" si="16"/>
        <v>969</v>
      </c>
      <c r="G36" s="53">
        <f t="shared" si="16"/>
        <v>912</v>
      </c>
      <c r="H36" s="53">
        <f t="shared" si="16"/>
        <v>57</v>
      </c>
      <c r="I36" s="53">
        <f t="shared" si="16"/>
        <v>0</v>
      </c>
      <c r="J36" s="53">
        <f t="shared" si="16"/>
        <v>57</v>
      </c>
      <c r="K36" s="5"/>
      <c r="P36" s="14">
        <v>1</v>
      </c>
    </row>
    <row r="37" spans="1:19" ht="14.4" x14ac:dyDescent="0.25">
      <c r="A37" s="18"/>
      <c r="B37" s="18"/>
      <c r="C37" s="19"/>
      <c r="D37" s="19"/>
      <c r="E37" s="14"/>
      <c r="F37" s="10">
        <f t="shared" ref="F37:F38" si="17">E37*10</f>
        <v>0</v>
      </c>
      <c r="G37" s="20"/>
      <c r="H37" s="10">
        <f t="shared" ref="H37:H48" si="18">F37-G37</f>
        <v>0</v>
      </c>
      <c r="I37" s="18"/>
      <c r="J37" s="17">
        <f t="shared" ref="J37:J46" si="19">H37-I37</f>
        <v>0</v>
      </c>
      <c r="K37" s="41"/>
    </row>
    <row r="38" spans="1:19" ht="14.4" x14ac:dyDescent="0.25">
      <c r="A38" s="18" t="s">
        <v>46</v>
      </c>
      <c r="B38" s="18" t="s">
        <v>53</v>
      </c>
      <c r="C38" s="19"/>
      <c r="D38" s="18"/>
      <c r="E38" s="14">
        <v>1</v>
      </c>
      <c r="F38" s="10">
        <f t="shared" si="17"/>
        <v>10</v>
      </c>
      <c r="G38" s="20">
        <v>10</v>
      </c>
      <c r="H38" s="10">
        <f t="shared" si="18"/>
        <v>0</v>
      </c>
      <c r="I38" s="18"/>
      <c r="J38" s="17">
        <f t="shared" si="19"/>
        <v>0</v>
      </c>
      <c r="K38" s="41" t="s">
        <v>65</v>
      </c>
      <c r="P38" s="14">
        <v>1</v>
      </c>
    </row>
    <row r="39" spans="1:19" ht="14.4" x14ac:dyDescent="0.25">
      <c r="A39" s="18" t="s">
        <v>22</v>
      </c>
      <c r="B39" s="18" t="s">
        <v>21</v>
      </c>
      <c r="C39" s="19"/>
      <c r="D39" s="18"/>
      <c r="E39" s="14">
        <v>1</v>
      </c>
      <c r="F39" s="10">
        <f>E39*10</f>
        <v>10</v>
      </c>
      <c r="G39" s="20">
        <v>10</v>
      </c>
      <c r="H39" s="10">
        <f t="shared" si="18"/>
        <v>0</v>
      </c>
      <c r="I39" s="18"/>
      <c r="J39" s="17">
        <f t="shared" si="19"/>
        <v>0</v>
      </c>
      <c r="K39" s="41" t="s">
        <v>38</v>
      </c>
      <c r="P39" s="14">
        <v>1</v>
      </c>
    </row>
    <row r="40" spans="1:19" ht="14.4" x14ac:dyDescent="0.25">
      <c r="A40" s="18" t="s">
        <v>34</v>
      </c>
      <c r="B40" s="18" t="s">
        <v>33</v>
      </c>
      <c r="C40" s="19"/>
      <c r="D40" s="19"/>
      <c r="E40" s="14">
        <v>1</v>
      </c>
      <c r="F40" s="10">
        <f>E40*10</f>
        <v>10</v>
      </c>
      <c r="G40" s="20">
        <v>10</v>
      </c>
      <c r="H40" s="10">
        <f t="shared" si="18"/>
        <v>0</v>
      </c>
      <c r="I40" s="18"/>
      <c r="J40" s="17">
        <f t="shared" si="19"/>
        <v>0</v>
      </c>
      <c r="K40" s="41" t="s">
        <v>35</v>
      </c>
      <c r="P40" s="14">
        <v>1</v>
      </c>
    </row>
    <row r="41" spans="1:19" ht="14.4" x14ac:dyDescent="0.25">
      <c r="A41" s="18" t="s">
        <v>45</v>
      </c>
      <c r="B41" s="18" t="s">
        <v>54</v>
      </c>
      <c r="C41" s="19"/>
      <c r="D41" s="19"/>
      <c r="E41" s="14">
        <v>1</v>
      </c>
      <c r="F41" s="10">
        <f>E41*10</f>
        <v>10</v>
      </c>
      <c r="G41" s="20">
        <v>10</v>
      </c>
      <c r="H41" s="10">
        <f t="shared" si="18"/>
        <v>0</v>
      </c>
      <c r="I41" s="18"/>
      <c r="J41" s="17">
        <f t="shared" si="19"/>
        <v>0</v>
      </c>
      <c r="K41" s="41" t="s">
        <v>63</v>
      </c>
    </row>
    <row r="42" spans="1:19" ht="14.4" x14ac:dyDescent="0.25">
      <c r="A42" s="18"/>
      <c r="B42" s="18"/>
      <c r="C42" s="19"/>
      <c r="D42" s="19"/>
      <c r="E42" s="14"/>
      <c r="F42" s="10">
        <v>0</v>
      </c>
      <c r="G42" s="20">
        <v>0</v>
      </c>
      <c r="H42" s="10">
        <f t="shared" si="18"/>
        <v>0</v>
      </c>
      <c r="I42" s="18"/>
      <c r="J42" s="17">
        <f t="shared" si="19"/>
        <v>0</v>
      </c>
      <c r="K42" s="41"/>
    </row>
    <row r="43" spans="1:19" ht="14.4" x14ac:dyDescent="0.3">
      <c r="A43" s="18"/>
      <c r="B43" s="18"/>
      <c r="C43" s="19"/>
      <c r="D43" s="19"/>
      <c r="E43" s="14"/>
      <c r="F43" s="10">
        <f t="shared" ref="F43" si="20">E43*10</f>
        <v>0</v>
      </c>
      <c r="G43" s="20"/>
      <c r="H43" s="10">
        <f t="shared" si="18"/>
        <v>0</v>
      </c>
      <c r="I43" s="18"/>
      <c r="J43" s="17">
        <f t="shared" si="19"/>
        <v>0</v>
      </c>
      <c r="K43"/>
    </row>
    <row r="44" spans="1:19" ht="14.4" x14ac:dyDescent="0.25">
      <c r="A44" s="18"/>
      <c r="B44" s="18"/>
      <c r="C44" s="19"/>
      <c r="D44" s="19"/>
      <c r="E44" s="14"/>
      <c r="F44" s="10"/>
      <c r="G44" s="20"/>
      <c r="H44" s="10">
        <f t="shared" si="18"/>
        <v>0</v>
      </c>
      <c r="I44" s="18"/>
      <c r="J44" s="17">
        <f t="shared" si="19"/>
        <v>0</v>
      </c>
      <c r="K44" s="41"/>
    </row>
    <row r="45" spans="1:19" ht="14.4" x14ac:dyDescent="0.25">
      <c r="A45" s="18" t="s">
        <v>49</v>
      </c>
      <c r="B45" s="18" t="s">
        <v>50</v>
      </c>
      <c r="C45" s="19"/>
      <c r="D45" s="19"/>
      <c r="E45" s="14">
        <v>1</v>
      </c>
      <c r="F45" s="10">
        <f t="shared" ref="F45:F49" si="21">E45*10</f>
        <v>10</v>
      </c>
      <c r="G45" s="20">
        <v>10</v>
      </c>
      <c r="H45" s="10">
        <f t="shared" si="18"/>
        <v>0</v>
      </c>
      <c r="I45" s="18"/>
      <c r="J45" s="17">
        <f t="shared" si="19"/>
        <v>0</v>
      </c>
      <c r="K45" s="41" t="s">
        <v>64</v>
      </c>
    </row>
    <row r="46" spans="1:19" ht="14.4" x14ac:dyDescent="0.25">
      <c r="A46" s="18" t="s">
        <v>32</v>
      </c>
      <c r="B46" s="18" t="s">
        <v>31</v>
      </c>
      <c r="C46" s="19"/>
      <c r="D46" s="19"/>
      <c r="E46" s="14">
        <v>1</v>
      </c>
      <c r="F46" s="10">
        <f>E46*10</f>
        <v>10</v>
      </c>
      <c r="G46" s="20">
        <v>10</v>
      </c>
      <c r="H46" s="10">
        <f t="shared" si="18"/>
        <v>0</v>
      </c>
      <c r="I46" s="18"/>
      <c r="J46" s="17">
        <f t="shared" si="19"/>
        <v>0</v>
      </c>
      <c r="K46" s="41" t="s">
        <v>62</v>
      </c>
    </row>
    <row r="47" spans="1:19" ht="14.4" x14ac:dyDescent="0.25">
      <c r="A47" s="18"/>
      <c r="B47" s="18"/>
      <c r="C47" s="19"/>
      <c r="D47" s="19"/>
      <c r="E47" s="14"/>
      <c r="F47" s="10">
        <f t="shared" si="21"/>
        <v>0</v>
      </c>
      <c r="G47" s="20"/>
      <c r="H47" s="10">
        <f t="shared" si="18"/>
        <v>0</v>
      </c>
      <c r="I47" s="18"/>
      <c r="J47" s="17">
        <f t="shared" ref="J47:J49" si="22">H47-I47</f>
        <v>0</v>
      </c>
      <c r="K47" s="41"/>
    </row>
    <row r="48" spans="1:19" ht="14.4" x14ac:dyDescent="0.3">
      <c r="A48" s="18"/>
      <c r="B48" s="18"/>
      <c r="C48" s="19"/>
      <c r="D48" s="19"/>
      <c r="E48" s="14"/>
      <c r="F48" s="10">
        <f t="shared" si="21"/>
        <v>0</v>
      </c>
      <c r="G48" s="20"/>
      <c r="H48" s="10">
        <f t="shared" si="18"/>
        <v>0</v>
      </c>
      <c r="I48" s="18"/>
      <c r="J48" s="17">
        <f t="shared" si="22"/>
        <v>0</v>
      </c>
      <c r="K48" s="40"/>
    </row>
    <row r="49" spans="1:23" ht="14.4" x14ac:dyDescent="0.3">
      <c r="A49" s="18"/>
      <c r="B49" s="18"/>
      <c r="C49" s="19"/>
      <c r="D49" s="19"/>
      <c r="E49" s="14"/>
      <c r="F49" s="10">
        <f t="shared" si="21"/>
        <v>0</v>
      </c>
      <c r="G49" s="20"/>
      <c r="H49" s="10">
        <f t="shared" ref="H49" si="23">F49-G49</f>
        <v>0</v>
      </c>
      <c r="I49" s="18"/>
      <c r="J49" s="17">
        <f t="shared" si="22"/>
        <v>0</v>
      </c>
      <c r="K49" s="40"/>
    </row>
    <row r="50" spans="1:23" ht="14.4" x14ac:dyDescent="0.25">
      <c r="A50" s="18"/>
      <c r="B50" s="18"/>
      <c r="C50" s="19"/>
      <c r="D50" s="19"/>
      <c r="E50" s="14"/>
      <c r="F50" s="10"/>
      <c r="G50" s="20"/>
      <c r="H50" s="10"/>
      <c r="I50" s="18"/>
      <c r="J50" s="17"/>
      <c r="K50" s="41"/>
    </row>
    <row r="51" spans="1:23" ht="14.4" thickBot="1" x14ac:dyDescent="0.35">
      <c r="A51" s="21" t="s">
        <v>11</v>
      </c>
      <c r="B51" s="22"/>
      <c r="C51" s="22"/>
      <c r="D51" s="22"/>
      <c r="E51" s="23">
        <f t="shared" ref="E51:J51" si="24">SUM(E37:E50)</f>
        <v>6</v>
      </c>
      <c r="F51" s="23">
        <f t="shared" si="24"/>
        <v>60</v>
      </c>
      <c r="G51" s="23">
        <f t="shared" si="24"/>
        <v>60</v>
      </c>
      <c r="H51" s="23">
        <f t="shared" si="24"/>
        <v>0</v>
      </c>
      <c r="I51" s="23">
        <f t="shared" si="24"/>
        <v>0</v>
      </c>
      <c r="J51" s="23">
        <f t="shared" si="24"/>
        <v>0</v>
      </c>
      <c r="K51" s="5"/>
    </row>
    <row r="52" spans="1:23" ht="14.4" x14ac:dyDescent="0.3">
      <c r="A52" s="37" t="s">
        <v>16</v>
      </c>
      <c r="B52" s="37"/>
      <c r="C52" s="37"/>
      <c r="D52" s="37"/>
      <c r="E52" s="38">
        <f>SUM(E51:E51)</f>
        <v>6</v>
      </c>
      <c r="F52" s="39">
        <f>F36+F51</f>
        <v>1029</v>
      </c>
      <c r="G52" s="39">
        <f>G36+G51</f>
        <v>972</v>
      </c>
      <c r="H52" s="39">
        <f>H36+H51</f>
        <v>57</v>
      </c>
      <c r="I52" s="39">
        <f>I36+I51</f>
        <v>0</v>
      </c>
      <c r="J52" s="39">
        <f>J36+J51</f>
        <v>57</v>
      </c>
      <c r="K52" s="41"/>
      <c r="O52" s="16"/>
      <c r="S52" s="16"/>
    </row>
    <row r="53" spans="1:23" x14ac:dyDescent="0.3">
      <c r="A53" s="45" t="s">
        <v>40</v>
      </c>
      <c r="B53" s="46"/>
      <c r="C53" s="46"/>
      <c r="D53" s="46"/>
      <c r="E53" s="47"/>
      <c r="F53" s="48">
        <f>SUM(F45:F50)+SUM(F23:F32)</f>
        <v>419</v>
      </c>
      <c r="G53" s="48">
        <f>SUM(G45:G50)+SUM(G23:G32)</f>
        <v>362</v>
      </c>
      <c r="H53" s="49"/>
      <c r="I53" s="49"/>
      <c r="J53" s="49"/>
      <c r="K53" s="5"/>
      <c r="L53" s="5"/>
      <c r="P53" s="16"/>
      <c r="Q53" s="16"/>
      <c r="R53" s="16"/>
      <c r="T53" s="16"/>
      <c r="U53" s="16"/>
      <c r="V53" s="16"/>
    </row>
    <row r="54" spans="1:23" ht="14.4" x14ac:dyDescent="0.3">
      <c r="A54" s="45" t="s">
        <v>41</v>
      </c>
      <c r="B54" s="46"/>
      <c r="C54" s="46"/>
      <c r="D54" s="46"/>
      <c r="E54" s="47"/>
      <c r="F54" s="48">
        <f>SUM(F37:F43)+SUM(F4:F21)</f>
        <v>610</v>
      </c>
      <c r="G54" s="48">
        <f>SUM(G37:G43)+SUM(G4:G21)</f>
        <v>610</v>
      </c>
      <c r="H54" s="50"/>
      <c r="I54" s="49"/>
      <c r="J54" s="49"/>
      <c r="K54" s="41"/>
      <c r="L54" s="5"/>
    </row>
    <row r="55" spans="1:23" x14ac:dyDescent="0.3">
      <c r="A55" s="33" t="s">
        <v>13</v>
      </c>
      <c r="B55" s="34">
        <v>55</v>
      </c>
      <c r="C55" s="34"/>
      <c r="D55" s="34"/>
      <c r="E55" s="35">
        <v>18</v>
      </c>
      <c r="F55" s="36">
        <f>+B55*E55</f>
        <v>990</v>
      </c>
      <c r="G55" s="5"/>
      <c r="H55" s="5"/>
      <c r="I55" s="5"/>
      <c r="J55" s="5"/>
      <c r="K55" s="5"/>
    </row>
    <row r="56" spans="1:23" ht="14.4" x14ac:dyDescent="0.3">
      <c r="A56" s="24" t="s">
        <v>14</v>
      </c>
      <c r="B56" s="13"/>
      <c r="C56" s="13"/>
      <c r="D56" s="13"/>
      <c r="E56" s="14"/>
      <c r="F56" s="25">
        <v>0</v>
      </c>
      <c r="G56" s="9"/>
      <c r="H56" s="5"/>
      <c r="I56" s="5"/>
      <c r="J56" s="5"/>
      <c r="K56" s="41"/>
      <c r="W56" s="16"/>
    </row>
    <row r="57" spans="1:23" x14ac:dyDescent="0.3">
      <c r="A57" s="42" t="s">
        <v>29</v>
      </c>
      <c r="B57" s="43"/>
      <c r="C57" s="43"/>
      <c r="D57" s="43"/>
      <c r="E57" s="44"/>
      <c r="F57" s="25"/>
      <c r="G57" s="9"/>
      <c r="H57" s="5"/>
      <c r="I57" s="5"/>
      <c r="J57" s="5"/>
      <c r="K57" s="5"/>
    </row>
    <row r="58" spans="1:23" ht="14.4" thickBot="1" x14ac:dyDescent="0.35">
      <c r="A58" s="26" t="s">
        <v>12</v>
      </c>
      <c r="B58" s="11"/>
      <c r="C58" s="11"/>
      <c r="D58" s="11"/>
      <c r="E58" s="12"/>
      <c r="F58" s="27">
        <f>B58*E58</f>
        <v>0</v>
      </c>
      <c r="G58" s="9"/>
      <c r="H58" s="5"/>
      <c r="I58" s="5"/>
      <c r="J58" s="5"/>
      <c r="K58" s="5"/>
    </row>
    <row r="59" spans="1:23" ht="14.4" thickBot="1" x14ac:dyDescent="0.35">
      <c r="A59" s="28"/>
      <c r="B59" s="29"/>
      <c r="C59" s="29"/>
      <c r="D59" s="29"/>
      <c r="E59" s="30"/>
      <c r="F59" s="31"/>
      <c r="G59" s="5"/>
      <c r="H59" s="5"/>
      <c r="I59" s="5"/>
      <c r="J59" s="5"/>
      <c r="K59" s="5"/>
    </row>
    <row r="60" spans="1:23" ht="14.4" thickBot="1" x14ac:dyDescent="0.35">
      <c r="A60" s="6" t="s">
        <v>15</v>
      </c>
      <c r="B60" s="7"/>
      <c r="C60" s="7"/>
      <c r="D60" s="7"/>
      <c r="E60" s="7"/>
      <c r="F60" s="32">
        <f>F52-F55-F56-F57-F58</f>
        <v>39</v>
      </c>
      <c r="G60" s="5"/>
      <c r="H60" s="5"/>
      <c r="I60" s="5"/>
      <c r="J60" s="5"/>
      <c r="K60" s="5"/>
    </row>
    <row r="61" spans="1:23" x14ac:dyDescent="0.3">
      <c r="G61" s="5"/>
      <c r="H61" s="5"/>
      <c r="K61" s="5"/>
    </row>
    <row r="62" spans="1:23" x14ac:dyDescent="0.3">
      <c r="H62" s="5"/>
      <c r="K62" s="5"/>
      <c r="M62" s="16"/>
      <c r="N62" s="16"/>
    </row>
    <row r="63" spans="1:23" s="16" customForma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3">
      <c r="K64" s="5"/>
    </row>
    <row r="65" spans="12:12" x14ac:dyDescent="0.3">
      <c r="L65" s="8"/>
    </row>
    <row r="66" spans="12:12" x14ac:dyDescent="0.3">
      <c r="L66" s="8"/>
    </row>
    <row r="67" spans="12:12" x14ac:dyDescent="0.3">
      <c r="L67" s="8"/>
    </row>
    <row r="68" spans="12:12" x14ac:dyDescent="0.3">
      <c r="L68" s="8"/>
    </row>
  </sheetData>
  <sortState xmlns:xlrd2="http://schemas.microsoft.com/office/spreadsheetml/2017/richdata2" ref="A42:S48">
    <sortCondition ref="A42:A48"/>
  </sortState>
  <mergeCells count="2">
    <mergeCell ref="A1:J1"/>
    <mergeCell ref="E3:J3"/>
  </mergeCells>
  <phoneticPr fontId="3" type="noConversion"/>
  <conditionalFormatting sqref="H4:H35 H37:H50">
    <cfRule type="cellIs" dxfId="7" priority="29" operator="greaterThan">
      <formula>0</formula>
    </cfRule>
    <cfRule type="cellIs" dxfId="6" priority="95" operator="equal">
      <formula>0</formula>
    </cfRule>
    <cfRule type="colorScale" priority="96">
      <colorScale>
        <cfvo type="min"/>
        <cfvo type="max"/>
        <color rgb="FF92D050"/>
        <color rgb="FFFF0000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98" operator="greaterThan">
      <formula>0</formula>
    </cfRule>
    <cfRule type="cellIs" dxfId="4" priority="99" operator="equal">
      <formula>0</formula>
    </cfRule>
    <cfRule type="colorScale" priority="100">
      <colorScale>
        <cfvo type="min"/>
        <cfvo type="num" val="0"/>
        <color rgb="FFFF7128"/>
        <color rgb="FFFFEF9C"/>
      </colorScale>
    </cfRule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2">
      <colorScale>
        <cfvo type="min"/>
        <cfvo type="max"/>
        <color rgb="FF63BE7B"/>
        <color rgb="FFFCFCFF"/>
      </colorScale>
    </cfRule>
    <cfRule type="cellIs" dxfId="3" priority="103" operator="greaterThan">
      <formula>0</formula>
    </cfRule>
    <cfRule type="cellIs" dxfId="2" priority="104" operator="lessThan">
      <formula>0</formula>
    </cfRule>
  </conditionalFormatting>
  <conditionalFormatting sqref="J4:J35 J37:J50 K51 K53 L53:L54 K55 K57:K61 K35:K36">
    <cfRule type="cellIs" dxfId="1" priority="22" operator="lessThan">
      <formula>0</formula>
    </cfRule>
    <cfRule type="cellIs" dxfId="0" priority="23" operator="greaterThan">
      <formula>0</formula>
    </cfRule>
  </conditionalFormatting>
  <hyperlinks>
    <hyperlink ref="K46" r:id="rId1" display="mailto:xavier.houzard@m4x.org" xr:uid="{A1B06710-21F5-4DA3-8D73-B2640C997C9F}"/>
    <hyperlink ref="K45" r:id="rId2" xr:uid="{63088EE9-A5BE-4484-88A4-87A947AD0B7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4" orientation="portrait" r:id="rId3"/>
  <headerFooter>
    <oddHeader>&amp;C&amp;"Calibri,Gras"&amp;18&amp;F</oddHeader>
    <oddFooter>&amp;C&amp;"Calibri,Gras"&amp;12&amp;D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 02 février 2026</vt:lpstr>
      <vt:lpstr>' 02 février 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Charaix</dc:creator>
  <cp:lastModifiedBy>Philippe CHARAIX</cp:lastModifiedBy>
  <cp:lastPrinted>2023-10-09T13:26:52Z</cp:lastPrinted>
  <dcterms:created xsi:type="dcterms:W3CDTF">2009-05-21T09:48:19Z</dcterms:created>
  <dcterms:modified xsi:type="dcterms:W3CDTF">2026-02-01T20:45:30Z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